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2C425BBB-B30D-4C0C-85AE-EFAD270E990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sumen ejecutivo" sheetId="1" r:id="rId1"/>
    <sheet name="Inputs" sheetId="2" r:id="rId2"/>
    <sheet name="Alternativas 3 años" sheetId="3" r:id="rId3"/>
    <sheet name="Fuentes y supuesto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3" l="1"/>
  <c r="F7" i="3"/>
  <c r="E7" i="3"/>
  <c r="D7" i="3"/>
  <c r="F6" i="3"/>
  <c r="E6" i="3"/>
  <c r="D6" i="3"/>
  <c r="G5" i="3"/>
  <c r="D5" i="3"/>
  <c r="G4" i="3"/>
  <c r="F4" i="3"/>
  <c r="E4" i="3"/>
  <c r="D4" i="3"/>
  <c r="F11" i="1"/>
  <c r="E11" i="1"/>
  <c r="F10" i="1"/>
  <c r="G6" i="3" l="1"/>
  <c r="G12" i="1" s="1"/>
  <c r="D13" i="1"/>
  <c r="E12" i="1"/>
  <c r="G13" i="1"/>
  <c r="F13" i="1"/>
  <c r="E13" i="1"/>
  <c r="F12" i="1"/>
  <c r="D12" i="1"/>
  <c r="G11" i="1"/>
  <c r="B4" i="1"/>
  <c r="D11" i="1"/>
  <c r="G10" i="1"/>
  <c r="E10" i="1"/>
  <c r="D10" i="1"/>
</calcChain>
</file>

<file path=xl/sharedStrings.xml><?xml version="1.0" encoding="utf-8"?>
<sst xmlns="http://schemas.openxmlformats.org/spreadsheetml/2006/main" count="204" uniqueCount="121">
  <si>
    <t>Resumen ejecutivo - alternativas Visual Studio Professional 2026</t>
  </si>
  <si>
    <t>Conclusión</t>
  </si>
  <si>
    <t>La alternativa recomendada es Estandarización perpetua con SA/LSA: compra SA para 26 licencias perpetuas existentes y compra 4 licencias nuevas retailer LSA para los usuarios actuales en Azure monthly.</t>
  </si>
  <si>
    <t>Costo 3 años recomendado</t>
  </si>
  <si>
    <t>Razón</t>
  </si>
  <si>
    <t>No recompra las 36 licencias perpetuas ya existentes, conserva un modelo objetivo de licencia perpetua con cobertura SA/LSA para migrar a VS 2026, y evita dejar los 4 usuarios en suscripción mensual.</t>
  </si>
  <si>
    <t>Ranking de alternativas aplicables</t>
  </si>
  <si>
    <t>Ranking</t>
  </si>
  <si>
    <t>ID</t>
  </si>
  <si>
    <t>Alternativa</t>
  </si>
  <si>
    <t>Año 1 USD</t>
  </si>
  <si>
    <t>Año 2 USD</t>
  </si>
  <si>
    <t>Año 3 USD</t>
  </si>
  <si>
    <t>Total 3 años USD</t>
  </si>
  <si>
    <t>Estado</t>
  </si>
  <si>
    <t>A</t>
  </si>
  <si>
    <t>Estandarización perpetua con SA/LSA</t>
  </si>
  <si>
    <t>Recomendado</t>
  </si>
  <si>
    <t>B</t>
  </si>
  <si>
    <t>Todos standalone / IDE independiente</t>
  </si>
  <si>
    <t>Alternativa con riesgo</t>
  </si>
  <si>
    <t>C</t>
  </si>
  <si>
    <t>Todos Professional Monthly Cloud</t>
  </si>
  <si>
    <t>D</t>
  </si>
  <si>
    <t>Todos Professional Standard Subscription anual</t>
  </si>
  <si>
    <t>No competitivo</t>
  </si>
  <si>
    <t>Inputs del modelo</t>
  </si>
  <si>
    <t>Variable</t>
  </si>
  <si>
    <t>Valor</t>
  </si>
  <si>
    <t>Unidad</t>
  </si>
  <si>
    <t>Notas</t>
  </si>
  <si>
    <t>Total desarrolladores</t>
  </si>
  <si>
    <t>usuarios</t>
  </si>
  <si>
    <t>Población total del análisis.</t>
  </si>
  <si>
    <t>Licencias perpetuas existentes sin SA</t>
  </si>
  <si>
    <t>No se recompran; solo requieren SA para habilitar VS 2026.</t>
  </si>
  <si>
    <t>Licencias perpetuas existentes con SA vigente</t>
  </si>
  <si>
    <t>Vencen a finales de este año; no se renuevan porque el alcance actual es VS 2026.</t>
  </si>
  <si>
    <t>Usuarios actuales en Azure monthly</t>
  </si>
  <si>
    <t>Únicos usuarios sin licencia perpetua; candidatos a compra nueva.</t>
  </si>
  <si>
    <t>SA unitario para licencias existentes</t>
  </si>
  <si>
    <t>USD/año</t>
  </si>
  <si>
    <t>Aplica solo a las 26 perpetuas existentes sin SA.</t>
  </si>
  <si>
    <t>Retailer LSA GitHub Year 1</t>
  </si>
  <si>
    <t>USD/usuario</t>
  </si>
  <si>
    <t>Pago obligatorio según validación del usuario.</t>
  </si>
  <si>
    <t>Retailer LSA GitHub Year 2</t>
  </si>
  <si>
    <t>Retailer LSA GitHub Year 3</t>
  </si>
  <si>
    <t>Professional Monthly Cloud</t>
  </si>
  <si>
    <t>USD/usuario/mes</t>
  </si>
  <si>
    <t>Precio publicado por Microsoft.</t>
  </si>
  <si>
    <t>Descuento monthly desde sexta suscripción</t>
  </si>
  <si>
    <t>%</t>
  </si>
  <si>
    <t>Aplica desde la sexta suscripción cloud del mismo tipo.</t>
  </si>
  <si>
    <t>Usuarios sin descuento monthly</t>
  </si>
  <si>
    <t>Primeras 5 suscripciones sin descuento.</t>
  </si>
  <si>
    <t>Professional Standard Subscription año 1</t>
  </si>
  <si>
    <t>Pago anual publicado por Microsoft.</t>
  </si>
  <si>
    <t>Professional Standard Subscription renovación</t>
  </si>
  <si>
    <t>Renovación publicada por Microsoft.</t>
  </si>
  <si>
    <t>Standalone IDE independiente</t>
  </si>
  <si>
    <t>Pago único por IDE independiente; sin beneficios de suscripción.</t>
  </si>
  <si>
    <t>Horizonte de análisis</t>
  </si>
  <si>
    <t>años</t>
  </si>
  <si>
    <t>Modelo en USD; no incluye impuestos.</t>
  </si>
  <si>
    <t>Alternativas aplicables - horizonte 3 años (USD)</t>
  </si>
  <si>
    <t>Modelo objetivo</t>
  </si>
  <si>
    <t>Tipo de gasto</t>
  </si>
  <si>
    <t>¿Derecho perpetuo?</t>
  </si>
  <si>
    <t>¿Cobertura actualización?</t>
  </si>
  <si>
    <t>Riesgo / observación</t>
  </si>
  <si>
    <t>26 SA sobre licencias existentes + 4 licencias nuevas retailer LSA. Las 10 con SA vigente no se renuevan.</t>
  </si>
  <si>
    <t>Mixto</t>
  </si>
  <si>
    <t>Sí</t>
  </si>
  <si>
    <t>Sí durante SA activa / LSA</t>
  </si>
  <si>
    <t>Reutiliza 36 licencias existentes. Evita recomprar para quienes ya tienen perpetua.</t>
  </si>
  <si>
    <t>40 licencias standalone nuevas</t>
  </si>
  <si>
    <t>CAPEX</t>
  </si>
  <si>
    <t>No; sin SA</t>
  </si>
  <si>
    <t>Menor complejidad, pero recompra para 36 usuarios y no conserva ruta clara de SA futura.</t>
  </si>
  <si>
    <t>40 suscripciones mensuales cloud</t>
  </si>
  <si>
    <t>OPEX</t>
  </si>
  <si>
    <t>No</t>
  </si>
  <si>
    <t>Sí mientras se pague</t>
  </si>
  <si>
    <t>Flexible y cancelable, pero sin derecho perpetuo y más costosa a 3 años que A.</t>
  </si>
  <si>
    <t>40 suscripciones Standard anuales</t>
  </si>
  <si>
    <t>OPEX / suscripción anual</t>
  </si>
  <si>
    <t>Sí, según beneficios Standard</t>
  </si>
  <si>
    <t>Sí mientras suscripción activa</t>
  </si>
  <si>
    <t>Más beneficios, pero costo alto. No es Annual Cloud nueva; es Standard Subscription anual.</t>
  </si>
  <si>
    <t>Observación</t>
  </si>
  <si>
    <t>Fuentes y supuestos</t>
  </si>
  <si>
    <t>Tipo</t>
  </si>
  <si>
    <t>Dato / supuesto</t>
  </si>
  <si>
    <t>Fuente / URL</t>
  </si>
  <si>
    <t>Fecha de consulta</t>
  </si>
  <si>
    <t>Fuente Microsoft</t>
  </si>
  <si>
    <t>Visual Studio Professional monthly</t>
  </si>
  <si>
    <t>USD 45 usuario/mes</t>
  </si>
  <si>
    <t>https://visualstudio.microsoft.com/vs/pricing/?tab=paid-subscriptions</t>
  </si>
  <si>
    <t>2026-05-27</t>
  </si>
  <si>
    <t>Precio oficial usado para escenario Monthly Cloud.</t>
  </si>
  <si>
    <t>Visual Studio Professional Standard</t>
  </si>
  <si>
    <t>USD 99,99 usuario/mes; renovación USD 66,59</t>
  </si>
  <si>
    <t>Pago anual; escenario de suscripción Standard.</t>
  </si>
  <si>
    <t>Visual Studio Professional standalone</t>
  </si>
  <si>
    <t>USD 499</t>
  </si>
  <si>
    <t>IDE independiente; sin beneficios de suscripción.</t>
  </si>
  <si>
    <t>Software Assurance - New Version Rights</t>
  </si>
  <si>
    <t>Permite actualizar producto cubierto por SA activa a versión más reciente</t>
  </si>
  <si>
    <t>https://www.microsoft.com/en-us/licensing/licensing-programs/software-assurance-by-benefits</t>
  </si>
  <si>
    <t>Soporta uso de SA para habilitar VS 2026.</t>
  </si>
  <si>
    <t>Validación interna</t>
  </si>
  <si>
    <t>Elegibilidad 26 licencias perpetuas para adquirir SA</t>
  </si>
  <si>
    <t>Confirmación del usuario</t>
  </si>
  <si>
    <t>SA unitario aplica solo para esas 26 licencias existentes.</t>
  </si>
  <si>
    <t>Year 1 / Year 2 / Year 3 retailer obligatorios</t>
  </si>
  <si>
    <t>Aplica para licencias nuevas retailer LSA.</t>
  </si>
  <si>
    <t>No uso de GitHub Enterprise</t>
  </si>
  <si>
    <t>No se usa</t>
  </si>
  <si>
    <t>Reduce valor de negocio del SKU retailer GitHub.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</si>
</sst>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1F4E78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5" borderId="0" xfId="0" applyFont="1" applyFill="1" applyAlignment="1">
      <alignment horizontal="left"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2" fillId="3" borderId="0" xfId="0" applyFont="1" applyFill="1" applyAlignment="1">
      <alignment horizontal="center" vertical="top" wrapText="1"/>
    </xf>
    <xf numFmtId="0" fontId="0" fillId="6" borderId="0" xfId="0" applyFill="1" applyAlignment="1">
      <alignment vertical="top" wrapText="1"/>
    </xf>
    <xf numFmtId="164" fontId="0" fillId="6" borderId="0" xfId="0" applyNumberFormat="1" applyFill="1" applyAlignment="1">
      <alignment vertical="top" wrapText="1"/>
    </xf>
    <xf numFmtId="0" fontId="0" fillId="4" borderId="0" xfId="0" applyFill="1" applyAlignment="1">
      <alignment vertical="top" wrapText="1"/>
    </xf>
    <xf numFmtId="164" fontId="0" fillId="4" borderId="0" xfId="0" applyNumberFormat="1" applyFill="1" applyAlignment="1">
      <alignment vertical="top" wrapText="1"/>
    </xf>
    <xf numFmtId="10" fontId="0" fillId="4" borderId="0" xfId="0" applyNumberFormat="1" applyFill="1" applyAlignment="1">
      <alignment vertical="top" wrapText="1"/>
    </xf>
    <xf numFmtId="0" fontId="0" fillId="7" borderId="0" xfId="0" applyFill="1" applyAlignment="1">
      <alignment vertical="top" wrapText="1"/>
    </xf>
    <xf numFmtId="164" fontId="0" fillId="7" borderId="0" xfId="0" applyNumberFormat="1" applyFill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3" fillId="5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Inputs" displayName="tblInputs" ref="A3:D18">
  <tableColumns count="4">
    <tableColumn id="1" xr3:uid="{00000000-0010-0000-0000-000001000000}" name="Variable"/>
    <tableColumn id="2" xr3:uid="{00000000-0010-0000-0000-000002000000}" name="Valor"/>
    <tableColumn id="3" xr3:uid="{00000000-0010-0000-0000-000003000000}" name="Unidad"/>
    <tableColumn id="4" xr3:uid="{00000000-0010-0000-0000-000004000000}" name="Not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Alternativas" displayName="tblAlternativas" ref="A3:L7">
  <tableColumns count="12">
    <tableColumn id="1" xr3:uid="{00000000-0010-0000-0100-000001000000}" name="ID"/>
    <tableColumn id="2" xr3:uid="{00000000-0010-0000-0100-000002000000}" name="Alternativa"/>
    <tableColumn id="3" xr3:uid="{00000000-0010-0000-0100-000003000000}" name="Modelo objetivo"/>
    <tableColumn id="4" xr3:uid="{00000000-0010-0000-0100-000004000000}" name="Año 1 USD"/>
    <tableColumn id="5" xr3:uid="{00000000-0010-0000-0100-000005000000}" name="Año 2 USD"/>
    <tableColumn id="6" xr3:uid="{00000000-0010-0000-0100-000006000000}" name="Año 3 USD"/>
    <tableColumn id="7" xr3:uid="{00000000-0010-0000-0100-000007000000}" name="Total 3 años USD"/>
    <tableColumn id="8" xr3:uid="{00000000-0010-0000-0100-000008000000}" name="Tipo de gasto"/>
    <tableColumn id="9" xr3:uid="{00000000-0010-0000-0100-000009000000}" name="¿Derecho perpetuo?"/>
    <tableColumn id="10" xr3:uid="{00000000-0010-0000-0100-00000A000000}" name="¿Cobertura actualización?"/>
    <tableColumn id="11" xr3:uid="{00000000-0010-0000-0100-00000B000000}" name="Riesgo / observación"/>
    <tableColumn id="12" xr3:uid="{00000000-0010-0000-0100-00000C000000}" name="Es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Fuentes" displayName="tblFuentes" ref="A3:F10">
  <tableColumns count="6">
    <tableColumn id="1" xr3:uid="{00000000-0010-0000-0300-000001000000}" name="Tipo"/>
    <tableColumn id="2" xr3:uid="{00000000-0010-0000-0300-000002000000}" name="Dato / supuesto"/>
    <tableColumn id="3" xr3:uid="{00000000-0010-0000-0300-000003000000}" name="Valor"/>
    <tableColumn id="4" xr3:uid="{00000000-0010-0000-0300-000004000000}" name="Fuente / URL"/>
    <tableColumn id="5" xr3:uid="{00000000-0010-0000-0300-000005000000}" name="Fecha de consulta"/>
    <tableColumn id="6" xr3:uid="{00000000-0010-0000-0300-000006000000}" name="Observ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"/>
  <sheetViews>
    <sheetView tabSelected="1" workbookViewId="0">
      <selection activeCell="A6" sqref="A6:XFD6"/>
    </sheetView>
  </sheetViews>
  <sheetFormatPr baseColWidth="10" defaultColWidth="43.625" defaultRowHeight="14.25"/>
  <sheetData>
    <row r="1" spans="1:26" ht="21" customHeight="1">
      <c r="A1" s="12" t="s">
        <v>0</v>
      </c>
      <c r="B1" s="13" t="s">
        <v>0</v>
      </c>
      <c r="C1" s="13" t="s">
        <v>0</v>
      </c>
      <c r="D1" s="13" t="s">
        <v>0</v>
      </c>
      <c r="E1" s="13" t="s">
        <v>0</v>
      </c>
      <c r="F1" s="13" t="s">
        <v>0</v>
      </c>
      <c r="G1" s="13" t="s">
        <v>0</v>
      </c>
      <c r="H1" s="13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71.25">
      <c r="A3" s="1" t="s">
        <v>1</v>
      </c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>
      <c r="A4" s="1" t="s">
        <v>3</v>
      </c>
      <c r="B4" s="3">
        <f>'Alternativas 3 años'!G4</f>
        <v>14402.14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71.25">
      <c r="A5" s="1" t="s">
        <v>4</v>
      </c>
      <c r="B5" s="2" t="s">
        <v>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4" t="s">
        <v>6</v>
      </c>
      <c r="B7" s="13" t="s">
        <v>6</v>
      </c>
      <c r="C7" s="13" t="s">
        <v>6</v>
      </c>
      <c r="D7" s="13" t="s">
        <v>6</v>
      </c>
      <c r="E7" s="13" t="s">
        <v>6</v>
      </c>
      <c r="F7" s="13" t="s">
        <v>6</v>
      </c>
      <c r="G7" s="13" t="s">
        <v>6</v>
      </c>
      <c r="H7" s="13" t="s">
        <v>6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>
      <c r="A9" s="4" t="s">
        <v>7</v>
      </c>
      <c r="B9" s="4" t="s">
        <v>8</v>
      </c>
      <c r="C9" s="4" t="s">
        <v>9</v>
      </c>
      <c r="D9" s="4" t="s">
        <v>10</v>
      </c>
      <c r="E9" s="4" t="s">
        <v>11</v>
      </c>
      <c r="F9" s="4" t="s">
        <v>12</v>
      </c>
      <c r="G9" s="4" t="s">
        <v>13</v>
      </c>
      <c r="H9" s="4" t="s">
        <v>14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5">
        <v>1</v>
      </c>
      <c r="B10" s="5" t="s">
        <v>15</v>
      </c>
      <c r="C10" s="5" t="s">
        <v>16</v>
      </c>
      <c r="D10" s="6">
        <f>'Alternativas 3 años'!D4</f>
        <v>10428.700000000001</v>
      </c>
      <c r="E10" s="6">
        <f>'Alternativas 3 años'!E4</f>
        <v>2684.4</v>
      </c>
      <c r="F10" s="6">
        <f>'Alternativas 3 años'!F4</f>
        <v>1289.04</v>
      </c>
      <c r="G10" s="6">
        <f>'Alternativas 3 años'!G4</f>
        <v>14402.14</v>
      </c>
      <c r="H10" s="5" t="s">
        <v>17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>
        <v>2</v>
      </c>
      <c r="B11" s="2" t="s">
        <v>18</v>
      </c>
      <c r="C11" s="2" t="s">
        <v>19</v>
      </c>
      <c r="D11" s="3">
        <f>'Alternativas 3 años'!D5</f>
        <v>19960</v>
      </c>
      <c r="E11" s="3">
        <f>'Alternativas 3 años'!E5</f>
        <v>0</v>
      </c>
      <c r="F11" s="3">
        <f>'Alternativas 3 años'!F5</f>
        <v>0</v>
      </c>
      <c r="G11" s="3">
        <f>'Alternativas 3 años'!G5</f>
        <v>19960</v>
      </c>
      <c r="H11" s="2" t="s">
        <v>20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>
        <v>3</v>
      </c>
      <c r="B12" s="2" t="s">
        <v>21</v>
      </c>
      <c r="C12" s="2" t="s">
        <v>22</v>
      </c>
      <c r="D12" s="3">
        <f>'Alternativas 3 años'!D6</f>
        <v>20655</v>
      </c>
      <c r="E12" s="3">
        <f>'Alternativas 3 años'!E6</f>
        <v>20655</v>
      </c>
      <c r="F12" s="3">
        <f>'Alternativas 3 años'!F6</f>
        <v>20655</v>
      </c>
      <c r="G12" s="3">
        <f>'Alternativas 3 años'!G6</f>
        <v>61965</v>
      </c>
      <c r="H12" s="2" t="s">
        <v>9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>
        <v>4</v>
      </c>
      <c r="B13" s="2" t="s">
        <v>23</v>
      </c>
      <c r="C13" s="2" t="s">
        <v>24</v>
      </c>
      <c r="D13" s="3">
        <f>'Alternativas 3 años'!D7</f>
        <v>47995.199999999997</v>
      </c>
      <c r="E13" s="3">
        <f>'Alternativas 3 años'!E7</f>
        <v>31963.200000000004</v>
      </c>
      <c r="F13" s="3">
        <f>'Alternativas 3 años'!F7</f>
        <v>31963.200000000004</v>
      </c>
      <c r="G13" s="3">
        <f>'Alternativas 3 años'!G7</f>
        <v>111921.60000000001</v>
      </c>
      <c r="H13" s="2" t="s">
        <v>25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</sheetData>
  <mergeCells count="2">
    <mergeCell ref="A1:H1"/>
    <mergeCell ref="A7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>
      <selection sqref="A1:D1"/>
    </sheetView>
  </sheetViews>
  <sheetFormatPr baseColWidth="10" defaultColWidth="9" defaultRowHeight="14.25"/>
  <cols>
    <col min="1" max="1" width="42" customWidth="1"/>
    <col min="2" max="2" width="16" customWidth="1"/>
    <col min="3" max="3" width="18" customWidth="1"/>
    <col min="4" max="4" width="70" customWidth="1"/>
  </cols>
  <sheetData>
    <row r="1" spans="1:26">
      <c r="A1" s="12" t="s">
        <v>26</v>
      </c>
      <c r="B1" s="13" t="s">
        <v>26</v>
      </c>
      <c r="C1" s="13" t="s">
        <v>26</v>
      </c>
      <c r="D1" s="13" t="s">
        <v>26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>
      <c r="A3" s="4" t="s">
        <v>27</v>
      </c>
      <c r="B3" s="4" t="s">
        <v>28</v>
      </c>
      <c r="C3" s="4" t="s">
        <v>29</v>
      </c>
      <c r="D3" s="4" t="s">
        <v>30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31</v>
      </c>
      <c r="B4" s="7">
        <v>40</v>
      </c>
      <c r="C4" s="2" t="s">
        <v>32</v>
      </c>
      <c r="D4" s="2" t="s">
        <v>33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34</v>
      </c>
      <c r="B5" s="7">
        <v>26</v>
      </c>
      <c r="C5" s="2" t="s">
        <v>32</v>
      </c>
      <c r="D5" s="2" t="s">
        <v>35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36</v>
      </c>
      <c r="B6" s="7">
        <v>10</v>
      </c>
      <c r="C6" s="2" t="s">
        <v>32</v>
      </c>
      <c r="D6" s="2" t="s">
        <v>37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38</v>
      </c>
      <c r="B7" s="7">
        <v>4</v>
      </c>
      <c r="C7" s="2" t="s">
        <v>32</v>
      </c>
      <c r="D7" s="2" t="s">
        <v>39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40</v>
      </c>
      <c r="B8" s="7">
        <v>244.19</v>
      </c>
      <c r="C8" s="2" t="s">
        <v>41</v>
      </c>
      <c r="D8" s="2" t="s">
        <v>42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43</v>
      </c>
      <c r="B9" s="8">
        <v>1019.94</v>
      </c>
      <c r="C9" s="2" t="s">
        <v>44</v>
      </c>
      <c r="D9" s="2" t="s">
        <v>45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46</v>
      </c>
      <c r="B10" s="8">
        <v>671.1</v>
      </c>
      <c r="C10" s="2" t="s">
        <v>44</v>
      </c>
      <c r="D10" s="2" t="s">
        <v>45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47</v>
      </c>
      <c r="B11" s="8">
        <v>322.26</v>
      </c>
      <c r="C11" s="2" t="s">
        <v>44</v>
      </c>
      <c r="D11" s="2" t="s">
        <v>45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48</v>
      </c>
      <c r="B12" s="8">
        <v>45</v>
      </c>
      <c r="C12" s="2" t="s">
        <v>49</v>
      </c>
      <c r="D12" s="2" t="s">
        <v>50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 t="s">
        <v>51</v>
      </c>
      <c r="B13" s="7">
        <v>0.05</v>
      </c>
      <c r="C13" s="2" t="s">
        <v>52</v>
      </c>
      <c r="D13" s="2" t="s">
        <v>53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 t="s">
        <v>54</v>
      </c>
      <c r="B14" s="9">
        <v>5</v>
      </c>
      <c r="C14" s="2" t="s">
        <v>32</v>
      </c>
      <c r="D14" s="2" t="s">
        <v>55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 t="s">
        <v>56</v>
      </c>
      <c r="B15" s="8">
        <v>99.99</v>
      </c>
      <c r="C15" s="2" t="s">
        <v>49</v>
      </c>
      <c r="D15" s="2" t="s">
        <v>57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 t="s">
        <v>58</v>
      </c>
      <c r="B16" s="8">
        <v>66.59</v>
      </c>
      <c r="C16" s="2" t="s">
        <v>49</v>
      </c>
      <c r="D16" s="2" t="s">
        <v>59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 t="s">
        <v>60</v>
      </c>
      <c r="B17" s="8">
        <v>499</v>
      </c>
      <c r="C17" s="2" t="s">
        <v>44</v>
      </c>
      <c r="D17" s="2" t="s">
        <v>61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 t="s">
        <v>62</v>
      </c>
      <c r="B18" s="7">
        <v>3</v>
      </c>
      <c r="C18" s="2" t="s">
        <v>63</v>
      </c>
      <c r="D18" s="2" t="s">
        <v>64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>
      <selection activeCell="J7" sqref="J7"/>
    </sheetView>
  </sheetViews>
  <sheetFormatPr baseColWidth="10" defaultColWidth="9" defaultRowHeight="14.25"/>
  <cols>
    <col min="1" max="1" width="8" customWidth="1"/>
    <col min="2" max="2" width="38" customWidth="1"/>
    <col min="3" max="3" width="54" customWidth="1"/>
    <col min="4" max="7" width="16" customWidth="1"/>
    <col min="8" max="8" width="18" customWidth="1"/>
    <col min="9" max="10" width="22" customWidth="1"/>
    <col min="11" max="11" width="64" customWidth="1"/>
    <col min="12" max="12" width="20" customWidth="1"/>
  </cols>
  <sheetData>
    <row r="1" spans="1:26">
      <c r="A1" s="12" t="s">
        <v>65</v>
      </c>
      <c r="B1" s="13" t="s">
        <v>65</v>
      </c>
      <c r="C1" s="13" t="s">
        <v>65</v>
      </c>
      <c r="D1" s="13" t="s">
        <v>65</v>
      </c>
      <c r="E1" s="13" t="s">
        <v>65</v>
      </c>
      <c r="F1" s="13" t="s">
        <v>65</v>
      </c>
      <c r="G1" s="13" t="s">
        <v>65</v>
      </c>
      <c r="H1" s="13" t="s">
        <v>65</v>
      </c>
      <c r="I1" s="13" t="s">
        <v>65</v>
      </c>
      <c r="J1" s="13" t="s">
        <v>65</v>
      </c>
      <c r="K1" s="13" t="s">
        <v>65</v>
      </c>
      <c r="L1" s="13" t="s">
        <v>65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">
      <c r="A3" s="4" t="s">
        <v>8</v>
      </c>
      <c r="B3" s="4" t="s">
        <v>9</v>
      </c>
      <c r="C3" s="4" t="s">
        <v>66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67</v>
      </c>
      <c r="I3" s="4" t="s">
        <v>68</v>
      </c>
      <c r="J3" s="4" t="s">
        <v>69</v>
      </c>
      <c r="K3" s="4" t="s">
        <v>70</v>
      </c>
      <c r="L3" s="4" t="s">
        <v>14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.5">
      <c r="A4" s="5" t="s">
        <v>15</v>
      </c>
      <c r="B4" s="5" t="s">
        <v>16</v>
      </c>
      <c r="C4" s="5" t="s">
        <v>71</v>
      </c>
      <c r="D4" s="6">
        <f>Inputs!B5*Inputs!B8 + Inputs!B7*Inputs!B9</f>
        <v>10428.700000000001</v>
      </c>
      <c r="E4" s="6">
        <f>Inputs!B7*Inputs!B10</f>
        <v>2684.4</v>
      </c>
      <c r="F4" s="6">
        <f>Inputs!B7*Inputs!B11</f>
        <v>1289.04</v>
      </c>
      <c r="G4" s="6">
        <f>SUM(D4:F4)</f>
        <v>14402.14</v>
      </c>
      <c r="H4" s="5" t="s">
        <v>72</v>
      </c>
      <c r="I4" s="5" t="s">
        <v>73</v>
      </c>
      <c r="J4" s="5" t="s">
        <v>74</v>
      </c>
      <c r="K4" s="5" t="s">
        <v>75</v>
      </c>
      <c r="L4" s="5" t="s">
        <v>17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.5">
      <c r="A5" s="10" t="s">
        <v>18</v>
      </c>
      <c r="B5" s="10" t="s">
        <v>19</v>
      </c>
      <c r="C5" s="10" t="s">
        <v>76</v>
      </c>
      <c r="D5" s="11">
        <f>Inputs!B4*Inputs!B17</f>
        <v>19960</v>
      </c>
      <c r="E5" s="11">
        <v>0</v>
      </c>
      <c r="F5" s="11">
        <v>0</v>
      </c>
      <c r="G5" s="11">
        <f>SUM(D5:F5)</f>
        <v>19960</v>
      </c>
      <c r="H5" s="10" t="s">
        <v>77</v>
      </c>
      <c r="I5" s="10" t="s">
        <v>73</v>
      </c>
      <c r="J5" s="10" t="s">
        <v>78</v>
      </c>
      <c r="K5" s="10" t="s">
        <v>79</v>
      </c>
      <c r="L5" s="10" t="s">
        <v>20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.5">
      <c r="A6" s="2" t="s">
        <v>21</v>
      </c>
      <c r="B6" s="2" t="s">
        <v>22</v>
      </c>
      <c r="C6" s="2" t="s">
        <v>80</v>
      </c>
      <c r="D6" s="3">
        <f>((MIN(Inputs!B4,Inputs!B14)*Inputs!B12)+MAX(Inputs!B4-Inputs!B14,0)*Inputs!B12*(1-Inputs!B13))*12</f>
        <v>20655</v>
      </c>
      <c r="E6" s="3">
        <f>((MIN(Inputs!B4,Inputs!B14)*Inputs!B12)+MAX(Inputs!B4-Inputs!B14,0)*Inputs!B12*(1-Inputs!B13))*12</f>
        <v>20655</v>
      </c>
      <c r="F6" s="3">
        <f>((MIN(Inputs!B4,Inputs!B14)*Inputs!B12)+MAX(Inputs!B4-Inputs!B14,0)*Inputs!B12*(1-Inputs!B13))*12</f>
        <v>20655</v>
      </c>
      <c r="G6" s="3">
        <f>SUM(D6:F6)</f>
        <v>61965</v>
      </c>
      <c r="H6" s="2" t="s">
        <v>81</v>
      </c>
      <c r="I6" s="2" t="s">
        <v>82</v>
      </c>
      <c r="J6" s="2" t="s">
        <v>83</v>
      </c>
      <c r="K6" s="2" t="s">
        <v>84</v>
      </c>
      <c r="L6" s="2" t="s">
        <v>9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5">
      <c r="A7" s="2" t="s">
        <v>23</v>
      </c>
      <c r="B7" s="2" t="s">
        <v>24</v>
      </c>
      <c r="C7" s="2" t="s">
        <v>85</v>
      </c>
      <c r="D7" s="3">
        <f>Inputs!B4*Inputs!B15*12</f>
        <v>47995.199999999997</v>
      </c>
      <c r="E7" s="3">
        <f>Inputs!B4*Inputs!B16*12</f>
        <v>31963.200000000004</v>
      </c>
      <c r="F7" s="3">
        <f>Inputs!B4*Inputs!B16*12</f>
        <v>31963.200000000004</v>
      </c>
      <c r="G7" s="3">
        <f>SUM(D7:F7)</f>
        <v>111921.60000000001</v>
      </c>
      <c r="H7" s="2" t="s">
        <v>86</v>
      </c>
      <c r="I7" s="2" t="s">
        <v>87</v>
      </c>
      <c r="J7" s="2" t="s">
        <v>88</v>
      </c>
      <c r="K7" s="2" t="s">
        <v>89</v>
      </c>
      <c r="L7" s="2" t="s">
        <v>25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L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"/>
  <sheetViews>
    <sheetView workbookViewId="0">
      <selection activeCell="A10" sqref="A10"/>
    </sheetView>
  </sheetViews>
  <sheetFormatPr baseColWidth="10" defaultColWidth="9" defaultRowHeight="14.25"/>
  <cols>
    <col min="1" max="1" width="20" customWidth="1"/>
    <col min="2" max="2" width="42" customWidth="1"/>
    <col min="3" max="3" width="34" customWidth="1"/>
    <col min="4" max="4" width="70" customWidth="1"/>
    <col min="5" max="5" width="18" customWidth="1"/>
    <col min="6" max="6" width="62" customWidth="1"/>
  </cols>
  <sheetData>
    <row r="1" spans="1:26">
      <c r="A1" s="12" t="s">
        <v>91</v>
      </c>
      <c r="B1" s="13" t="s">
        <v>91</v>
      </c>
      <c r="C1" s="13" t="s">
        <v>91</v>
      </c>
      <c r="D1" s="13" t="s">
        <v>91</v>
      </c>
      <c r="E1" s="13" t="s">
        <v>91</v>
      </c>
      <c r="F1" s="13" t="s">
        <v>91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>
      <c r="A3" s="4" t="s">
        <v>92</v>
      </c>
      <c r="B3" s="4" t="s">
        <v>93</v>
      </c>
      <c r="C3" s="4" t="s">
        <v>28</v>
      </c>
      <c r="D3" s="4" t="s">
        <v>94</v>
      </c>
      <c r="E3" s="4" t="s">
        <v>95</v>
      </c>
      <c r="F3" s="4" t="s">
        <v>90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96</v>
      </c>
      <c r="B4" s="2" t="s">
        <v>97</v>
      </c>
      <c r="C4" s="2" t="s">
        <v>98</v>
      </c>
      <c r="D4" s="2" t="s">
        <v>99</v>
      </c>
      <c r="E4" s="2" t="s">
        <v>100</v>
      </c>
      <c r="F4" s="2" t="s">
        <v>101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.5">
      <c r="A5" s="2" t="s">
        <v>96</v>
      </c>
      <c r="B5" s="2" t="s">
        <v>102</v>
      </c>
      <c r="C5" s="2" t="s">
        <v>103</v>
      </c>
      <c r="D5" s="2" t="s">
        <v>99</v>
      </c>
      <c r="E5" s="2" t="s">
        <v>100</v>
      </c>
      <c r="F5" s="2" t="s">
        <v>104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96</v>
      </c>
      <c r="B6" s="2" t="s">
        <v>105</v>
      </c>
      <c r="C6" s="2" t="s">
        <v>106</v>
      </c>
      <c r="D6" s="2" t="s">
        <v>99</v>
      </c>
      <c r="E6" s="2" t="s">
        <v>100</v>
      </c>
      <c r="F6" s="2" t="s">
        <v>107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5">
      <c r="A7" s="2" t="s">
        <v>96</v>
      </c>
      <c r="B7" s="2" t="s">
        <v>108</v>
      </c>
      <c r="C7" s="2" t="s">
        <v>109</v>
      </c>
      <c r="D7" s="2" t="s">
        <v>110</v>
      </c>
      <c r="E7" s="2" t="s">
        <v>100</v>
      </c>
      <c r="F7" s="2" t="s">
        <v>111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5">
      <c r="A8" s="2" t="s">
        <v>112</v>
      </c>
      <c r="B8" s="2" t="s">
        <v>113</v>
      </c>
      <c r="C8" s="2" t="s">
        <v>73</v>
      </c>
      <c r="D8" s="2" t="s">
        <v>114</v>
      </c>
      <c r="E8" s="2" t="s">
        <v>100</v>
      </c>
      <c r="F8" s="2" t="s">
        <v>115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112</v>
      </c>
      <c r="B9" s="2" t="s">
        <v>116</v>
      </c>
      <c r="C9" s="2" t="s">
        <v>73</v>
      </c>
      <c r="D9" s="2" t="s">
        <v>114</v>
      </c>
      <c r="E9" s="2" t="s">
        <v>100</v>
      </c>
      <c r="F9" s="2" t="s">
        <v>117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112</v>
      </c>
      <c r="B10" s="2" t="s">
        <v>118</v>
      </c>
      <c r="C10" s="2" t="s">
        <v>119</v>
      </c>
      <c r="D10" s="2" t="s">
        <v>114</v>
      </c>
      <c r="E10" s="2" t="s">
        <v>100</v>
      </c>
      <c r="F10" s="2" t="s">
        <v>120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 ejecutivo</vt:lpstr>
      <vt:lpstr>Inputs</vt:lpstr>
      <vt:lpstr>Alternativas 3 años</vt:lpstr>
      <vt:lpstr>Fuentes y supuestos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Andres Leyva</cp:lastModifiedBy>
  <dcterms:modified xsi:type="dcterms:W3CDTF">2026-06-10T13:46:07Z</dcterms:modified>
</cp:coreProperties>
</file>